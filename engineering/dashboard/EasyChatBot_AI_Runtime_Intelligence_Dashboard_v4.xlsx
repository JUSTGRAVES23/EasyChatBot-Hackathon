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Usage Events - Agent Input" sheetId="2" state="visible" r:id="rId2"/>
    <sheet xmlns:r="http://schemas.openxmlformats.org/officeDocument/2006/relationships" name="Capability Thresholds" sheetId="3" state="visible" r:id="rId3"/>
    <sheet xmlns:r="http://schemas.openxmlformats.org/officeDocument/2006/relationships" name="Agent Summary Contract" sheetId="4" state="visible" r:id="rId4"/>
    <sheet xmlns:r="http://schemas.openxmlformats.org/officeDocument/2006/relationships" name="4 Eyes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  <font>
      <b val="1"/>
      <color rgb="00FFFFFF"/>
      <sz val="18"/>
    </font>
    <font>
      <b val="1"/>
    </font>
    <font>
      <b val="1"/>
      <color rgb="00006100"/>
    </font>
    <font>
      <b val="1"/>
      <color rgb="009C6500"/>
    </font>
    <font>
      <b val="1"/>
      <color rgb="009C5700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B183"/>
      </patternFill>
    </fill>
    <fill>
      <patternFill patternType="solid">
        <fgColor rgb="00FFC7CE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5700"/>
      </font>
      <fill>
        <patternFill patternType="solid">
          <fgColor rgb="00F4B183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Executions by Capability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Dashboard'!$A$15:$A$20</f>
            </numRef>
          </cat>
          <val>
            <numRef>
              <f>'Executive Dashboard'!$B$15:$B$20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Executions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UsageEvents" displayName="UsageEvents" ref="A1:N8" headerRowCount="1">
  <autoFilter ref="A1:N8"/>
  <tableColumns count="14">
    <tableColumn id="1" name="event_id"/>
    <tableColumn id="2" name="timestamp"/>
    <tableColumn id="3" name="user_id"/>
    <tableColumn id="4" name="capability"/>
    <tableColumn id="5" name="functionality"/>
    <tableColumn id="6" name="agent"/>
    <tableColumn id="7" name="provider"/>
    <tableColumn id="8" name="model"/>
    <tableColumn id="9" name="input_tokens"/>
    <tableColumn id="10" name="output_tokens"/>
    <tableColumn id="11" name="latency_ms"/>
    <tableColumn id="12" name="estimated_cost"/>
    <tableColumn id="13" name="quality_score"/>
    <tableColumn id="14" name="health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12" customWidth="1" min="9" max="9"/>
    <col width="45" customWidth="1" min="10" max="10"/>
    <col width="45" customWidth="1" min="11" max="11"/>
    <col width="12" customWidth="1" min="12" max="12"/>
    <col width="12" customWidth="1" min="13" max="13"/>
  </cols>
  <sheetData>
    <row r="1">
      <c r="A1" s="1" t="inlineStr">
        <is>
          <t>EasyChatBot — AI Runtime Intelligence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inlineStr">
        <is>
          <t>Hackathon scope • dynamic token health • capability-specific thresholds • beta baseline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EXECUTIVE KPIs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inlineStr">
        <is>
          <t>TOKEN HEALTH LEGEND</t>
        </is>
      </c>
      <c r="K4" s="2" t="n"/>
      <c r="L4" s="2" t="n"/>
      <c r="M4" s="2" t="n"/>
    </row>
    <row r="5">
      <c r="A5" s="4" t="inlineStr">
        <is>
          <t>Total Executions</t>
        </is>
      </c>
      <c r="B5" s="2">
        <f>COUNTA('Usage Events - Agent Input'!$A$2:$A$1000)</f>
        <v/>
      </c>
      <c r="C5" s="2" t="n"/>
      <c r="D5" s="2" t="n"/>
      <c r="E5" s="2" t="n"/>
      <c r="F5" s="2" t="n"/>
      <c r="G5" s="2" t="n"/>
      <c r="H5" s="2" t="n"/>
      <c r="I5" s="2" t="n"/>
      <c r="J5" s="5" t="inlineStr">
        <is>
          <t>GREEN</t>
        </is>
      </c>
      <c r="K5" s="2" t="inlineStr">
        <is>
          <t>≤100% of capability-specific green baseline</t>
        </is>
      </c>
      <c r="L5" s="2" t="n"/>
      <c r="M5" s="2" t="n"/>
    </row>
    <row r="6">
      <c r="A6" s="4" t="inlineStr">
        <is>
          <t>Total Input Tokens</t>
        </is>
      </c>
      <c r="B6" s="2">
        <f>SUM('Usage Events - Agent Input'!$I$2:$I$1000)</f>
        <v/>
      </c>
      <c r="C6" s="2" t="n"/>
      <c r="D6" s="2" t="n"/>
      <c r="E6" s="2" t="n"/>
      <c r="F6" s="2" t="n"/>
      <c r="G6" s="2" t="n"/>
      <c r="H6" s="2" t="n"/>
      <c r="I6" s="2" t="n"/>
      <c r="J6" s="6" t="inlineStr">
        <is>
          <t>YELLOW</t>
        </is>
      </c>
      <c r="K6" s="2" t="inlineStr">
        <is>
          <t>&gt;100% to 150%</t>
        </is>
      </c>
      <c r="L6" s="2" t="n"/>
      <c r="M6" s="2" t="n"/>
    </row>
    <row r="7">
      <c r="A7" s="4" t="inlineStr">
        <is>
          <t>Total Output Tokens</t>
        </is>
      </c>
      <c r="B7" s="2">
        <f>SUM('Usage Events - Agent Input'!$J$2:$J$1000)</f>
        <v/>
      </c>
      <c r="C7" s="2" t="n"/>
      <c r="D7" s="2" t="n"/>
      <c r="E7" s="2" t="n"/>
      <c r="F7" s="2" t="n"/>
      <c r="G7" s="2" t="n"/>
      <c r="H7" s="2" t="n"/>
      <c r="I7" s="2" t="n"/>
      <c r="J7" s="7" t="inlineStr">
        <is>
          <t>ORANGE</t>
        </is>
      </c>
      <c r="K7" s="2" t="inlineStr">
        <is>
          <t>&gt;150% to 250%</t>
        </is>
      </c>
      <c r="L7" s="2" t="n"/>
      <c r="M7" s="2" t="n"/>
    </row>
    <row r="8">
      <c r="A8" s="4" t="inlineStr">
        <is>
          <t>Estimated Cost</t>
        </is>
      </c>
      <c r="B8" s="2">
        <f>SUM('Usage Events - Agent Input'!$L$2:$L$1000)</f>
        <v/>
      </c>
      <c r="C8" s="2" t="n"/>
      <c r="D8" s="2" t="n"/>
      <c r="E8" s="2" t="n"/>
      <c r="F8" s="2" t="n"/>
      <c r="G8" s="2" t="n"/>
      <c r="H8" s="2" t="n"/>
      <c r="I8" s="2" t="n"/>
      <c r="J8" s="8" t="inlineStr">
        <is>
          <t>RED</t>
        </is>
      </c>
      <c r="K8" s="2" t="inlineStr">
        <is>
          <t>&gt;250%</t>
        </is>
      </c>
      <c r="L8" s="2" t="n"/>
      <c r="M8" s="2" t="n"/>
    </row>
    <row r="9">
      <c r="A9" s="4" t="inlineStr">
        <is>
          <t>Average Latency (ms)</t>
        </is>
      </c>
      <c r="B9" s="2">
        <f>IFERROR(AVERAGE('Usage Events - Agent Input'!$K$2:$K$1000),0)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4" t="inlineStr">
        <is>
          <t>Average Quality</t>
        </is>
      </c>
      <c r="B10" s="2">
        <f>IFERROR(AVERAGE('Usage Events - Agent Input'!$M$2:$M$1000),0)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3" t="inlineStr">
        <is>
          <t>WHY THERE IS A LEGEND PER FUNCTIONALITY</t>
        </is>
      </c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inlineStr">
        <is>
          <t>A Live Intelligence request is expected to consume more tokens than a memory retrieval.</t>
        </is>
      </c>
      <c r="K12" s="2" t="n"/>
      <c r="L12" s="2" t="n"/>
      <c r="M12" s="2" t="n"/>
    </row>
    <row r="13">
      <c r="A13" s="3" t="inlineStr">
        <is>
          <t>CAPABILITY HEALTH — FORMULA DRIVEN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inlineStr">
        <is>
          <t>Therefore the same global token limit would create misleading red/green signals.</t>
        </is>
      </c>
      <c r="K13" s="2" t="n"/>
      <c r="L13" s="2" t="n"/>
      <c r="M13" s="2" t="n"/>
    </row>
    <row r="14">
      <c r="A14" s="9" t="inlineStr">
        <is>
          <t>Capability</t>
        </is>
      </c>
      <c r="B14" s="9" t="inlineStr">
        <is>
          <t>Executions</t>
        </is>
      </c>
      <c r="C14" s="9" t="inlineStr">
        <is>
          <t>Avg Input Tokens</t>
        </is>
      </c>
      <c r="D14" s="9" t="inlineStr">
        <is>
          <t>Avg Output Tokens</t>
        </is>
      </c>
      <c r="E14" s="9" t="inlineStr">
        <is>
          <t>Input vs Green</t>
        </is>
      </c>
      <c r="F14" s="9" t="inlineStr">
        <is>
          <t>Output vs Green</t>
        </is>
      </c>
      <c r="G14" s="9" t="inlineStr">
        <is>
          <t>Health Status</t>
        </is>
      </c>
      <c r="H14" s="9" t="inlineStr">
        <is>
          <t>Decision</t>
        </is>
      </c>
      <c r="I14" s="2" t="n"/>
      <c r="J14" s="2" t="inlineStr">
        <is>
          <t>Open 'Capability Thresholds' for the documented threshold and legend for every capability.</t>
        </is>
      </c>
      <c r="K14" s="2" t="n"/>
      <c r="L14" s="2" t="n"/>
      <c r="M14" s="2" t="n"/>
    </row>
    <row r="15">
      <c r="A15" s="2" t="inlineStr">
        <is>
          <t>Memory Personalisation</t>
        </is>
      </c>
      <c r="B15" s="2">
        <f>COUNTIF('Usage Events - Agent Input'!$D$2:$D$1000,"memory_personalisation")</f>
        <v/>
      </c>
      <c r="C15" s="2">
        <f>IFERROR(AVERAGEIF('Usage Events - Agent Input'!$D$2:$D$1000,"memory_personalisation",'Usage Events - Agent Input'!$I$2:$I$1000),0)</f>
        <v/>
      </c>
      <c r="D15" s="2">
        <f>IFERROR(AVERAGEIF('Usage Events - Agent Input'!$D$2:$D$1000,"memory_personalisation",'Usage Events - Agent Input'!$J$2:$J$1000),0)</f>
        <v/>
      </c>
      <c r="E15" s="10">
        <f>IFERROR(C15/INDEX('Capability Thresholds'!$C$2:$C$7,MATCH("memory_personalisation",'Capability Thresholds'!$B$2:$B$7,0)),0)</f>
        <v/>
      </c>
      <c r="F15" s="10">
        <f>IFERROR(D15/INDEX('Capability Thresholds'!$G$2:$G$7,MATCH("memory_personalisation",'Capability Thresholds'!$B$2:$B$7,0)),0)</f>
        <v/>
      </c>
      <c r="G15" s="2">
        <f>IF(MAX(E15,F15)&lt;=1,"GREEN",IF(MAX(E15,F15)&lt;=1.5,"YELLOW",IF(MAX(E15,F15)&lt;=2.5,"ORANGE","RED")))</f>
        <v/>
      </c>
      <c r="H15" s="2">
        <f>IF(G15="GREEN","Operate normally",IF(G15="YELLOW","Monitor trend",IF(G15="ORANGE","Optimise prompt/model","Investigate anomaly")))</f>
        <v/>
      </c>
      <c r="I15" s="2" t="n"/>
      <c r="J15" s="2" t="n"/>
      <c r="K15" s="2" t="n"/>
      <c r="L15" s="2" t="n"/>
      <c r="M15" s="2" t="n"/>
    </row>
    <row r="16">
      <c r="A16" s="2" t="inlineStr">
        <is>
          <t>Flashcard Generation</t>
        </is>
      </c>
      <c r="B16" s="2">
        <f>COUNTIF('Usage Events - Agent Input'!$D$2:$D$1000,"flashcards")</f>
        <v/>
      </c>
      <c r="C16" s="2">
        <f>IFERROR(AVERAGEIF('Usage Events - Agent Input'!$D$2:$D$1000,"flashcards",'Usage Events - Agent Input'!$I$2:$I$1000),0)</f>
        <v/>
      </c>
      <c r="D16" s="2">
        <f>IFERROR(AVERAGEIF('Usage Events - Agent Input'!$D$2:$D$1000,"flashcards",'Usage Events - Agent Input'!$J$2:$J$1000),0)</f>
        <v/>
      </c>
      <c r="E16" s="10">
        <f>IFERROR(C16/INDEX('Capability Thresholds'!$C$2:$C$7,MATCH("flashcards",'Capability Thresholds'!$B$2:$B$7,0)),0)</f>
        <v/>
      </c>
      <c r="F16" s="10">
        <f>IFERROR(D16/INDEX('Capability Thresholds'!$G$2:$G$7,MATCH("flashcards",'Capability Thresholds'!$B$2:$B$7,0)),0)</f>
        <v/>
      </c>
      <c r="G16" s="2">
        <f>IF(MAX(E16,F16)&lt;=1,"GREEN",IF(MAX(E16,F16)&lt;=1.5,"YELLOW",IF(MAX(E16,F16)&lt;=2.5,"ORANGE","RED")))</f>
        <v/>
      </c>
      <c r="H16" s="2">
        <f>IF(G16="GREEN","Operate normally",IF(G16="YELLOW","Monitor trend",IF(G16="ORANGE","Optimise prompt/model","Investigate anomaly")))</f>
        <v/>
      </c>
      <c r="I16" s="2" t="n"/>
      <c r="J16" s="2" t="n"/>
      <c r="K16" s="2" t="n"/>
      <c r="L16" s="2" t="n"/>
      <c r="M16" s="2" t="n"/>
    </row>
    <row r="17">
      <c r="A17" s="2" t="inlineStr">
        <is>
          <t>Podcast Discovery</t>
        </is>
      </c>
      <c r="B17" s="2">
        <f>COUNTIF('Usage Events - Agent Input'!$D$2:$D$1000,"podcast_discovery")</f>
        <v/>
      </c>
      <c r="C17" s="2">
        <f>IFERROR(AVERAGEIF('Usage Events - Agent Input'!$D$2:$D$1000,"podcast_discovery",'Usage Events - Agent Input'!$I$2:$I$1000),0)</f>
        <v/>
      </c>
      <c r="D17" s="2">
        <f>IFERROR(AVERAGEIF('Usage Events - Agent Input'!$D$2:$D$1000,"podcast_discovery",'Usage Events - Agent Input'!$J$2:$J$1000),0)</f>
        <v/>
      </c>
      <c r="E17" s="10">
        <f>IFERROR(C17/INDEX('Capability Thresholds'!$C$2:$C$7,MATCH("podcast_discovery",'Capability Thresholds'!$B$2:$B$7,0)),0)</f>
        <v/>
      </c>
      <c r="F17" s="10">
        <f>IFERROR(D17/INDEX('Capability Thresholds'!$G$2:$G$7,MATCH("podcast_discovery",'Capability Thresholds'!$B$2:$B$7,0)),0)</f>
        <v/>
      </c>
      <c r="G17" s="2">
        <f>IF(MAX(E17,F17)&lt;=1,"GREEN",IF(MAX(E17,F17)&lt;=1.5,"YELLOW",IF(MAX(E17,F17)&lt;=2.5,"ORANGE","RED")))</f>
        <v/>
      </c>
      <c r="H17" s="2">
        <f>IF(G17="GREEN","Operate normally",IF(G17="YELLOW","Monitor trend",IF(G17="ORANGE","Optimise prompt/model","Investigate anomaly")))</f>
        <v/>
      </c>
      <c r="I17" s="2" t="n"/>
      <c r="J17" s="2" t="n"/>
      <c r="K17" s="2" t="n"/>
      <c r="L17" s="2" t="n"/>
      <c r="M17" s="2" t="n"/>
    </row>
    <row r="18">
      <c r="A18" s="2" t="inlineStr">
        <is>
          <t>Podcast Learning Challenge</t>
        </is>
      </c>
      <c r="B18" s="2">
        <f>COUNTIF('Usage Events - Agent Input'!$D$2:$D$1000,"podcast_learning")</f>
        <v/>
      </c>
      <c r="C18" s="2">
        <f>IFERROR(AVERAGEIF('Usage Events - Agent Input'!$D$2:$D$1000,"podcast_learning",'Usage Events - Agent Input'!$I$2:$I$1000),0)</f>
        <v/>
      </c>
      <c r="D18" s="2">
        <f>IFERROR(AVERAGEIF('Usage Events - Agent Input'!$D$2:$D$1000,"podcast_learning",'Usage Events - Agent Input'!$J$2:$J$1000),0)</f>
        <v/>
      </c>
      <c r="E18" s="10">
        <f>IFERROR(C18/INDEX('Capability Thresholds'!$C$2:$C$7,MATCH("podcast_learning",'Capability Thresholds'!$B$2:$B$7,0)),0)</f>
        <v/>
      </c>
      <c r="F18" s="10">
        <f>IFERROR(D18/INDEX('Capability Thresholds'!$G$2:$G$7,MATCH("podcast_learning",'Capability Thresholds'!$B$2:$B$7,0)),0)</f>
        <v/>
      </c>
      <c r="G18" s="2">
        <f>IF(MAX(E18,F18)&lt;=1,"GREEN",IF(MAX(E18,F18)&lt;=1.5,"YELLOW",IF(MAX(E18,F18)&lt;=2.5,"ORANGE","RED")))</f>
        <v/>
      </c>
      <c r="H18" s="2">
        <f>IF(G18="GREEN","Operate normally",IF(G18="YELLOW","Monitor trend",IF(G18="ORANGE","Optimise prompt/model","Investigate anomaly")))</f>
        <v/>
      </c>
      <c r="I18" s="2" t="n"/>
      <c r="J18" s="2" t="n"/>
      <c r="K18" s="2" t="n"/>
      <c r="L18" s="2" t="n"/>
      <c r="M18" s="2" t="n"/>
    </row>
    <row r="19">
      <c r="A19" s="2" t="inlineStr">
        <is>
          <t>Live Intelligence</t>
        </is>
      </c>
      <c r="B19" s="2">
        <f>COUNTIF('Usage Events - Agent Input'!$D$2:$D$1000,"live_intelligence")</f>
        <v/>
      </c>
      <c r="C19" s="2">
        <f>IFERROR(AVERAGEIF('Usage Events - Agent Input'!$D$2:$D$1000,"live_intelligence",'Usage Events - Agent Input'!$I$2:$I$1000),0)</f>
        <v/>
      </c>
      <c r="D19" s="2">
        <f>IFERROR(AVERAGEIF('Usage Events - Agent Input'!$D$2:$D$1000,"live_intelligence",'Usage Events - Agent Input'!$J$2:$J$1000),0)</f>
        <v/>
      </c>
      <c r="E19" s="10">
        <f>IFERROR(C19/INDEX('Capability Thresholds'!$C$2:$C$7,MATCH("live_intelligence",'Capability Thresholds'!$B$2:$B$7,0)),0)</f>
        <v/>
      </c>
      <c r="F19" s="10">
        <f>IFERROR(D19/INDEX('Capability Thresholds'!$G$2:$G$7,MATCH("live_intelligence",'Capability Thresholds'!$B$2:$B$7,0)),0)</f>
        <v/>
      </c>
      <c r="G19" s="2">
        <f>IF(MAX(E19,F19)&lt;=1,"GREEN",IF(MAX(E19,F19)&lt;=1.5,"YELLOW",IF(MAX(E19,F19)&lt;=2.5,"ORANGE","RED")))</f>
        <v/>
      </c>
      <c r="H19" s="2">
        <f>IF(G19="GREEN","Operate normally",IF(G19="YELLOW","Monitor trend",IF(G19="ORANGE","Optimise prompt/model","Investigate anomaly")))</f>
        <v/>
      </c>
      <c r="I19" s="2" t="n"/>
      <c r="J19" s="2" t="n"/>
      <c r="K19" s="2" t="n"/>
      <c r="L19" s="2" t="n"/>
      <c r="M19" s="2" t="n"/>
    </row>
    <row r="20">
      <c r="A20" s="2" t="inlineStr">
        <is>
          <t>Evaluation</t>
        </is>
      </c>
      <c r="B20" s="2">
        <f>COUNTIF('Usage Events - Agent Input'!$D$2:$D$1000,"evaluation")</f>
        <v/>
      </c>
      <c r="C20" s="2">
        <f>IFERROR(AVERAGEIF('Usage Events - Agent Input'!$D$2:$D$1000,"evaluation",'Usage Events - Agent Input'!$I$2:$I$1000),0)</f>
        <v/>
      </c>
      <c r="D20" s="2">
        <f>IFERROR(AVERAGEIF('Usage Events - Agent Input'!$D$2:$D$1000,"evaluation",'Usage Events - Agent Input'!$J$2:$J$1000),0)</f>
        <v/>
      </c>
      <c r="E20" s="10">
        <f>IFERROR(C20/INDEX('Capability Thresholds'!$C$2:$C$7,MATCH("evaluation",'Capability Thresholds'!$B$2:$B$7,0)),0)</f>
        <v/>
      </c>
      <c r="F20" s="10">
        <f>IFERROR(D20/INDEX('Capability Thresholds'!$G$2:$G$7,MATCH("evaluation",'Capability Thresholds'!$B$2:$B$7,0)),0)</f>
        <v/>
      </c>
      <c r="G20" s="2">
        <f>IF(MAX(E20,F20)&lt;=1,"GREEN",IF(MAX(E20,F20)&lt;=1.5,"YELLOW",IF(MAX(E20,F20)&lt;=2.5,"ORANGE","RED")))</f>
        <v/>
      </c>
      <c r="H20" s="2">
        <f>IF(G20="GREEN","Operate normally",IF(G20="YELLOW","Monitor trend",IF(G20="ORANGE","Optimise prompt/model","Investigate anomaly")))</f>
        <v/>
      </c>
      <c r="I20" s="2" t="n"/>
      <c r="J20" s="2" t="n"/>
      <c r="K20" s="2" t="n"/>
      <c r="L20" s="2" t="n"/>
      <c r="M20" s="2" t="n"/>
    </row>
  </sheetData>
  <mergeCells count="13">
    <mergeCell ref="A4:H4"/>
    <mergeCell ref="K8:M8"/>
    <mergeCell ref="J13:M13"/>
    <mergeCell ref="A1:M1"/>
    <mergeCell ref="K6:M6"/>
    <mergeCell ref="K5:M5"/>
    <mergeCell ref="J4:M4"/>
    <mergeCell ref="J11:M11"/>
    <mergeCell ref="J12:M12"/>
    <mergeCell ref="A13:H13"/>
    <mergeCell ref="J14:M14"/>
    <mergeCell ref="A2:M2"/>
    <mergeCell ref="K7:M7"/>
  </mergeCells>
  <conditionalFormatting sqref="G15:G20">
    <cfRule type="expression" priority="1" dxfId="0">
      <formula>$G15="GREEN"</formula>
    </cfRule>
    <cfRule type="expression" priority="2" dxfId="1">
      <formula>$G15="YELLOW"</formula>
    </cfRule>
    <cfRule type="expression" priority="3" dxfId="2">
      <formula>$G15="ORANGE"</formula>
    </cfRule>
    <cfRule type="expression" priority="4" dxfId="3">
      <formula>$G15="RED"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25" customWidth="1" min="4" max="4"/>
    <col width="23" customWidth="1" min="5" max="5"/>
    <col width="21" customWidth="1" min="6" max="6"/>
    <col width="12" customWidth="1" min="7" max="7"/>
    <col width="14" customWidth="1" min="8" max="8"/>
    <col width="15" customWidth="1" min="9" max="9"/>
    <col width="16" customWidth="1" min="10" max="10"/>
    <col width="13" customWidth="1" min="11" max="11"/>
    <col width="17" customWidth="1" min="12" max="12"/>
    <col width="16" customWidth="1" min="13" max="13"/>
    <col width="45" customWidth="1" min="14" max="14"/>
  </cols>
  <sheetData>
    <row r="1">
      <c r="A1" s="9" t="inlineStr">
        <is>
          <t>event_id</t>
        </is>
      </c>
      <c r="B1" s="9" t="inlineStr">
        <is>
          <t>timestamp</t>
        </is>
      </c>
      <c r="C1" s="9" t="inlineStr">
        <is>
          <t>user_id</t>
        </is>
      </c>
      <c r="D1" s="9" t="inlineStr">
        <is>
          <t>capability</t>
        </is>
      </c>
      <c r="E1" s="9" t="inlineStr">
        <is>
          <t>functionality</t>
        </is>
      </c>
      <c r="F1" s="9" t="inlineStr">
        <is>
          <t>agent</t>
        </is>
      </c>
      <c r="G1" s="9" t="inlineStr">
        <is>
          <t>provider</t>
        </is>
      </c>
      <c r="H1" s="9" t="inlineStr">
        <is>
          <t>model</t>
        </is>
      </c>
      <c r="I1" s="9" t="inlineStr">
        <is>
          <t>input_tokens</t>
        </is>
      </c>
      <c r="J1" s="9" t="inlineStr">
        <is>
          <t>output_tokens</t>
        </is>
      </c>
      <c r="K1" s="9" t="inlineStr">
        <is>
          <t>latency_ms</t>
        </is>
      </c>
      <c r="L1" s="9" t="inlineStr">
        <is>
          <t>estimated_cost</t>
        </is>
      </c>
      <c r="M1" s="9" t="inlineStr">
        <is>
          <t>quality_score</t>
        </is>
      </c>
      <c r="N1" s="9" t="inlineStr">
        <is>
          <t>health_status</t>
        </is>
      </c>
    </row>
    <row r="2">
      <c r="A2" s="2" t="inlineStr">
        <is>
          <t>evt-001</t>
        </is>
      </c>
      <c r="B2" s="2" t="inlineStr">
        <is>
          <t>2026-08-13T10:00:00Z</t>
        </is>
      </c>
      <c r="C2" s="2" t="inlineStr">
        <is>
          <t>learner-001</t>
        </is>
      </c>
      <c r="D2" s="2" t="inlineStr">
        <is>
          <t>memory_personalisation</t>
        </is>
      </c>
      <c r="E2" s="2" t="inlineStr">
        <is>
          <t>learner_context</t>
        </is>
      </c>
      <c r="F2" s="2" t="inlineStr">
        <is>
          <t>conversation_agent</t>
        </is>
      </c>
      <c r="G2" s="2" t="inlineStr">
        <is>
          <t>Gemini</t>
        </is>
      </c>
      <c r="H2" s="2" t="inlineStr">
        <is>
          <t>flash-model</t>
        </is>
      </c>
      <c r="I2" s="2" t="n">
        <v>600</v>
      </c>
      <c r="J2" s="2" t="n">
        <v>250</v>
      </c>
      <c r="K2" s="2" t="n">
        <v>900</v>
      </c>
      <c r="L2" s="2" t="n">
        <v>0.01</v>
      </c>
      <c r="M2" s="2" t="n">
        <v>95</v>
      </c>
      <c r="N2" s="2">
        <f>IF(D2="","",IF(MAX(IFERROR(I2/INDEX('Capability Thresholds'!$C$2:$C$7,MATCH(D2,'Capability Thresholds'!$B$2:$B$7,0)),0),IFERROR(J2/INDEX('Capability Thresholds'!$G$2:$G$7,MATCH(D2,'Capability Thresholds'!$B$2:$B$7,0)),0))&lt;=1,"GREEN",IF(MAX(IFERROR(I2/INDEX('Capability Thresholds'!$C$2:$C$7,MATCH(D2,'Capability Thresholds'!$B$2:$B$7,0)),0),IFERROR(J2/INDEX('Capability Thresholds'!$G$2:$G$7,MATCH(D2,'Capability Thresholds'!$B$2:$B$7,0)),0))&lt;=1.5,"YELLOW",IF(MAX(IFERROR(I2/INDEX('Capability Thresholds'!$C$2:$C$7,MATCH(D2,'Capability Thresholds'!$B$2:$B$7,0)),0),IFERROR(J2/INDEX('Capability Thresholds'!$G$2:$G$7,MATCH(D2,'Capability Thresholds'!$B$2:$B$7,0)),0))&lt;=2.5,"ORANGE","RED"))))</f>
        <v/>
      </c>
    </row>
    <row r="3">
      <c r="A3" s="2" t="inlineStr">
        <is>
          <t>evt-002</t>
        </is>
      </c>
      <c r="B3" s="2" t="inlineStr">
        <is>
          <t>2026-08-13T10:03:00Z</t>
        </is>
      </c>
      <c r="C3" s="2" t="inlineStr">
        <is>
          <t>learner-002</t>
        </is>
      </c>
      <c r="D3" s="2" t="inlineStr">
        <is>
          <t>memory_personalisation</t>
        </is>
      </c>
      <c r="E3" s="2" t="inlineStr">
        <is>
          <t>learner_context</t>
        </is>
      </c>
      <c r="F3" s="2" t="inlineStr">
        <is>
          <t>conversation_agent</t>
        </is>
      </c>
      <c r="G3" s="2" t="inlineStr">
        <is>
          <t>Gemini</t>
        </is>
      </c>
      <c r="H3" s="2" t="inlineStr">
        <is>
          <t>flash-model</t>
        </is>
      </c>
      <c r="I3" s="2" t="n">
        <v>900</v>
      </c>
      <c r="J3" s="2" t="n">
        <v>350</v>
      </c>
      <c r="K3" s="2" t="n">
        <v>1100</v>
      </c>
      <c r="L3" s="2" t="n">
        <v>0.012</v>
      </c>
      <c r="M3" s="2" t="n">
        <v>94</v>
      </c>
      <c r="N3" s="2">
        <f>IF(D3="","",IF(MAX(IFERROR(I3/INDEX('Capability Thresholds'!$C$2:$C$7,MATCH(D3,'Capability Thresholds'!$B$2:$B$7,0)),0),IFERROR(J3/INDEX('Capability Thresholds'!$G$2:$G$7,MATCH(D3,'Capability Thresholds'!$B$2:$B$7,0)),0))&lt;=1,"GREEN",IF(MAX(IFERROR(I3/INDEX('Capability Thresholds'!$C$2:$C$7,MATCH(D3,'Capability Thresholds'!$B$2:$B$7,0)),0),IFERROR(J3/INDEX('Capability Thresholds'!$G$2:$G$7,MATCH(D3,'Capability Thresholds'!$B$2:$B$7,0)),0))&lt;=1.5,"YELLOW",IF(MAX(IFERROR(I3/INDEX('Capability Thresholds'!$C$2:$C$7,MATCH(D3,'Capability Thresholds'!$B$2:$B$7,0)),0),IFERROR(J3/INDEX('Capability Thresholds'!$G$2:$G$7,MATCH(D3,'Capability Thresholds'!$B$2:$B$7,0)),0))&lt;=2.5,"ORANGE","RED"))))</f>
        <v/>
      </c>
    </row>
    <row r="4">
      <c r="A4" s="2" t="inlineStr">
        <is>
          <t>evt-003</t>
        </is>
      </c>
      <c r="B4" s="2" t="inlineStr">
        <is>
          <t>2026-08-13T10:10:00Z</t>
        </is>
      </c>
      <c r="C4" s="2" t="inlineStr">
        <is>
          <t>learner-001</t>
        </is>
      </c>
      <c r="D4" s="2" t="inlineStr">
        <is>
          <t>flashcards</t>
        </is>
      </c>
      <c r="E4" s="2" t="inlineStr">
        <is>
          <t>flashcard_generation</t>
        </is>
      </c>
      <c r="F4" s="2" t="inlineStr">
        <is>
          <t>learning_agent</t>
        </is>
      </c>
      <c r="G4" s="2" t="inlineStr">
        <is>
          <t>Gemini</t>
        </is>
      </c>
      <c r="H4" s="2" t="inlineStr">
        <is>
          <t>flash-model</t>
        </is>
      </c>
      <c r="I4" s="2" t="n">
        <v>1200</v>
      </c>
      <c r="J4" s="2" t="n">
        <v>650</v>
      </c>
      <c r="K4" s="2" t="n">
        <v>1300</v>
      </c>
      <c r="L4" s="2" t="n">
        <v>0.015</v>
      </c>
      <c r="M4" s="2" t="n">
        <v>93</v>
      </c>
      <c r="N4" s="2">
        <f>IF(D4="","",IF(MAX(IFERROR(I4/INDEX('Capability Thresholds'!$C$2:$C$7,MATCH(D4,'Capability Thresholds'!$B$2:$B$7,0)),0),IFERROR(J4/INDEX('Capability Thresholds'!$G$2:$G$7,MATCH(D4,'Capability Thresholds'!$B$2:$B$7,0)),0))&lt;=1,"GREEN",IF(MAX(IFERROR(I4/INDEX('Capability Thresholds'!$C$2:$C$7,MATCH(D4,'Capability Thresholds'!$B$2:$B$7,0)),0),IFERROR(J4/INDEX('Capability Thresholds'!$G$2:$G$7,MATCH(D4,'Capability Thresholds'!$B$2:$B$7,0)),0))&lt;=1.5,"YELLOW",IF(MAX(IFERROR(I4/INDEX('Capability Thresholds'!$C$2:$C$7,MATCH(D4,'Capability Thresholds'!$B$2:$B$7,0)),0),IFERROR(J4/INDEX('Capability Thresholds'!$G$2:$G$7,MATCH(D4,'Capability Thresholds'!$B$2:$B$7,0)),0))&lt;=2.5,"ORANGE","RED"))))</f>
        <v/>
      </c>
    </row>
    <row r="5">
      <c r="A5" s="2" t="inlineStr">
        <is>
          <t>evt-004</t>
        </is>
      </c>
      <c r="B5" s="2" t="inlineStr">
        <is>
          <t>2026-08-13T10:15:00Z</t>
        </is>
      </c>
      <c r="C5" s="2" t="inlineStr">
        <is>
          <t>learner-003</t>
        </is>
      </c>
      <c r="D5" s="2" t="inlineStr">
        <is>
          <t>podcast_discovery</t>
        </is>
      </c>
      <c r="E5" s="2" t="inlineStr">
        <is>
          <t>podcast_search</t>
        </is>
      </c>
      <c r="F5" s="2" t="inlineStr">
        <is>
          <t>discovery_agent</t>
        </is>
      </c>
      <c r="G5" s="2" t="inlineStr">
        <is>
          <t>Parallel</t>
        </is>
      </c>
      <c r="H5" s="2" t="inlineStr">
        <is>
          <t>search</t>
        </is>
      </c>
      <c r="I5" s="2" t="n">
        <v>2100</v>
      </c>
      <c r="J5" s="2" t="n">
        <v>1200</v>
      </c>
      <c r="K5" s="2" t="n">
        <v>2400</v>
      </c>
      <c r="L5" s="2" t="n">
        <v>0.02</v>
      </c>
      <c r="M5" s="2" t="n">
        <v>91</v>
      </c>
      <c r="N5" s="2">
        <f>IF(D5="","",IF(MAX(IFERROR(I5/INDEX('Capability Thresholds'!$C$2:$C$7,MATCH(D5,'Capability Thresholds'!$B$2:$B$7,0)),0),IFERROR(J5/INDEX('Capability Thresholds'!$G$2:$G$7,MATCH(D5,'Capability Thresholds'!$B$2:$B$7,0)),0))&lt;=1,"GREEN",IF(MAX(IFERROR(I5/INDEX('Capability Thresholds'!$C$2:$C$7,MATCH(D5,'Capability Thresholds'!$B$2:$B$7,0)),0),IFERROR(J5/INDEX('Capability Thresholds'!$G$2:$G$7,MATCH(D5,'Capability Thresholds'!$B$2:$B$7,0)),0))&lt;=1.5,"YELLOW",IF(MAX(IFERROR(I5/INDEX('Capability Thresholds'!$C$2:$C$7,MATCH(D5,'Capability Thresholds'!$B$2:$B$7,0)),0),IFERROR(J5/INDEX('Capability Thresholds'!$G$2:$G$7,MATCH(D5,'Capability Thresholds'!$B$2:$B$7,0)),0))&lt;=2.5,"ORANGE","RED"))))</f>
        <v/>
      </c>
    </row>
    <row r="6">
      <c r="A6" s="2" t="inlineStr">
        <is>
          <t>evt-005</t>
        </is>
      </c>
      <c r="B6" s="2" t="inlineStr">
        <is>
          <t>2026-08-13T10:20:00Z</t>
        </is>
      </c>
      <c r="C6" s="2" t="inlineStr">
        <is>
          <t>learner-004</t>
        </is>
      </c>
      <c r="D6" s="2" t="inlineStr">
        <is>
          <t>podcast_learning</t>
        </is>
      </c>
      <c r="E6" s="2" t="inlineStr">
        <is>
          <t>learning_challenge</t>
        </is>
      </c>
      <c r="F6" s="2" t="inlineStr">
        <is>
          <t>challenge_agent</t>
        </is>
      </c>
      <c r="G6" s="2" t="inlineStr">
        <is>
          <t>Gemini</t>
        </is>
      </c>
      <c r="H6" s="2" t="inlineStr">
        <is>
          <t>flash-model</t>
        </is>
      </c>
      <c r="I6" s="2" t="n">
        <v>3100</v>
      </c>
      <c r="J6" s="2" t="n">
        <v>1800</v>
      </c>
      <c r="K6" s="2" t="n">
        <v>3100</v>
      </c>
      <c r="L6" s="2" t="n">
        <v>0.03</v>
      </c>
      <c r="M6" s="2" t="n">
        <v>94</v>
      </c>
      <c r="N6" s="2">
        <f>IF(D6="","",IF(MAX(IFERROR(I6/INDEX('Capability Thresholds'!$C$2:$C$7,MATCH(D6,'Capability Thresholds'!$B$2:$B$7,0)),0),IFERROR(J6/INDEX('Capability Thresholds'!$G$2:$G$7,MATCH(D6,'Capability Thresholds'!$B$2:$B$7,0)),0))&lt;=1,"GREEN",IF(MAX(IFERROR(I6/INDEX('Capability Thresholds'!$C$2:$C$7,MATCH(D6,'Capability Thresholds'!$B$2:$B$7,0)),0),IFERROR(J6/INDEX('Capability Thresholds'!$G$2:$G$7,MATCH(D6,'Capability Thresholds'!$B$2:$B$7,0)),0))&lt;=1.5,"YELLOW",IF(MAX(IFERROR(I6/INDEX('Capability Thresholds'!$C$2:$C$7,MATCH(D6,'Capability Thresholds'!$B$2:$B$7,0)),0),IFERROR(J6/INDEX('Capability Thresholds'!$G$2:$G$7,MATCH(D6,'Capability Thresholds'!$B$2:$B$7,0)),0))&lt;=2.5,"ORANGE","RED"))))</f>
        <v/>
      </c>
    </row>
    <row r="7">
      <c r="A7" s="2" t="inlineStr">
        <is>
          <t>evt-006</t>
        </is>
      </c>
      <c r="B7" s="2" t="inlineStr">
        <is>
          <t>2026-08-13T10:25:00Z</t>
        </is>
      </c>
      <c r="C7" s="2" t="inlineStr">
        <is>
          <t>learner-005</t>
        </is>
      </c>
      <c r="D7" s="2" t="inlineStr">
        <is>
          <t>live_intelligence</t>
        </is>
      </c>
      <c r="E7" s="2" t="inlineStr">
        <is>
          <t>research</t>
        </is>
      </c>
      <c r="F7" s="2" t="inlineStr">
        <is>
          <t>research_agent</t>
        </is>
      </c>
      <c r="G7" s="2" t="inlineStr">
        <is>
          <t>Parallel</t>
        </is>
      </c>
      <c r="H7" s="2" t="inlineStr">
        <is>
          <t>search</t>
        </is>
      </c>
      <c r="I7" s="2" t="n">
        <v>6200</v>
      </c>
      <c r="J7" s="2" t="n">
        <v>3000</v>
      </c>
      <c r="K7" s="2" t="n">
        <v>5200</v>
      </c>
      <c r="L7" s="2" t="n">
        <v>0.04</v>
      </c>
      <c r="M7" s="2" t="n">
        <v>92</v>
      </c>
      <c r="N7" s="2">
        <f>IF(D7="","",IF(MAX(IFERROR(I7/INDEX('Capability Thresholds'!$C$2:$C$7,MATCH(D7,'Capability Thresholds'!$B$2:$B$7,0)),0),IFERROR(J7/INDEX('Capability Thresholds'!$G$2:$G$7,MATCH(D7,'Capability Thresholds'!$B$2:$B$7,0)),0))&lt;=1,"GREEN",IF(MAX(IFERROR(I7/INDEX('Capability Thresholds'!$C$2:$C$7,MATCH(D7,'Capability Thresholds'!$B$2:$B$7,0)),0),IFERROR(J7/INDEX('Capability Thresholds'!$G$2:$G$7,MATCH(D7,'Capability Thresholds'!$B$2:$B$7,0)),0))&lt;=1.5,"YELLOW",IF(MAX(IFERROR(I7/INDEX('Capability Thresholds'!$C$2:$C$7,MATCH(D7,'Capability Thresholds'!$B$2:$B$7,0)),0),IFERROR(J7/INDEX('Capability Thresholds'!$G$2:$G$7,MATCH(D7,'Capability Thresholds'!$B$2:$B$7,0)),0))&lt;=2.5,"ORANGE","RED"))))</f>
        <v/>
      </c>
    </row>
    <row r="8">
      <c r="A8" s="2" t="inlineStr">
        <is>
          <t>evt-007</t>
        </is>
      </c>
      <c r="B8" s="2" t="inlineStr">
        <is>
          <t>2026-08-13T10:30:00Z</t>
        </is>
      </c>
      <c r="C8" s="2" t="inlineStr">
        <is>
          <t>learner-006</t>
        </is>
      </c>
      <c r="D8" s="2" t="inlineStr">
        <is>
          <t>evaluation</t>
        </is>
      </c>
      <c r="E8" s="2" t="inlineStr">
        <is>
          <t>quality_evaluation</t>
        </is>
      </c>
      <c r="F8" s="2" t="inlineStr">
        <is>
          <t>evaluation_agent</t>
        </is>
      </c>
      <c r="G8" s="2" t="inlineStr">
        <is>
          <t>Gemini</t>
        </is>
      </c>
      <c r="H8" s="2" t="inlineStr">
        <is>
          <t>flash-model</t>
        </is>
      </c>
      <c r="I8" s="2" t="n">
        <v>900</v>
      </c>
      <c r="J8" s="2" t="n">
        <v>450</v>
      </c>
      <c r="K8" s="2" t="n">
        <v>1500</v>
      </c>
      <c r="L8" s="2" t="n">
        <v>0.012</v>
      </c>
      <c r="M8" s="2" t="n">
        <v>96</v>
      </c>
      <c r="N8" s="2">
        <f>IF(D8="","",IF(MAX(IFERROR(I8/INDEX('Capability Thresholds'!$C$2:$C$7,MATCH(D8,'Capability Thresholds'!$B$2:$B$7,0)),0),IFERROR(J8/INDEX('Capability Thresholds'!$G$2:$G$7,MATCH(D8,'Capability Thresholds'!$B$2:$B$7,0)),0))&lt;=1,"GREEN",IF(MAX(IFERROR(I8/INDEX('Capability Thresholds'!$C$2:$C$7,MATCH(D8,'Capability Thresholds'!$B$2:$B$7,0)),0),IFERROR(J8/INDEX('Capability Thresholds'!$G$2:$G$7,MATCH(D8,'Capability Thresholds'!$B$2:$B$7,0)),0))&lt;=1.5,"YELLOW",IF(MAX(IFERROR(I8/INDEX('Capability Thresholds'!$C$2:$C$7,MATCH(D8,'Capability Thresholds'!$B$2:$B$7,0)),0),IFERROR(J8/INDEX('Capability Thresholds'!$G$2:$G$7,MATCH(D8,'Capability Thresholds'!$B$2:$B$7,0)),0))&lt;=2.5,"ORANGE","RED"))))</f>
        <v/>
      </c>
    </row>
  </sheetData>
  <conditionalFormatting sqref="N2:N1000">
    <cfRule type="expression" priority="1" dxfId="0">
      <formula>$N2="GREEN"</formula>
    </cfRule>
    <cfRule type="expression" priority="2" dxfId="1">
      <formula>$N2="YELLOW"</formula>
    </cfRule>
    <cfRule type="expression" priority="3" dxfId="2">
      <formula>$N2="ORANGE"</formula>
    </cfRule>
    <cfRule type="expression" priority="4" dxfId="3">
      <formula>$N2="RED"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2" customWidth="1" min="3" max="3"/>
    <col width="43" customWidth="1" min="4" max="4"/>
    <col width="33" customWidth="1" min="5" max="5"/>
    <col width="20" customWidth="1" min="6" max="6"/>
    <col width="19" customWidth="1" min="7" max="7"/>
    <col width="20" customWidth="1" min="8" max="8"/>
    <col width="20" customWidth="1" min="9" max="9"/>
    <col width="19" customWidth="1" min="10" max="10"/>
    <col width="45" customWidth="1" min="11" max="11"/>
    <col width="45" customWidth="1" min="12" max="12"/>
  </cols>
  <sheetData>
    <row r="1">
      <c r="A1" s="9" t="inlineStr">
        <is>
          <t>Capability</t>
        </is>
      </c>
      <c r="B1" s="9" t="inlineStr">
        <is>
          <t>capability_key</t>
        </is>
      </c>
      <c r="C1" s="9" t="inlineStr">
        <is>
          <t>Input Green Max</t>
        </is>
      </c>
      <c r="D1" s="9" t="inlineStr">
        <is>
          <t>Input Yellow Max</t>
        </is>
      </c>
      <c r="E1" s="9" t="inlineStr">
        <is>
          <t>Input Orange Max</t>
        </is>
      </c>
      <c r="F1" s="9" t="inlineStr">
        <is>
          <t>Input Red Above</t>
        </is>
      </c>
      <c r="G1" s="9" t="inlineStr">
        <is>
          <t>Output Green Max</t>
        </is>
      </c>
      <c r="H1" s="9" t="inlineStr">
        <is>
          <t>Output Yellow Max</t>
        </is>
      </c>
      <c r="I1" s="9" t="inlineStr">
        <is>
          <t>Output Orange Max</t>
        </is>
      </c>
      <c r="J1" s="9" t="inlineStr">
        <is>
          <t>Output Red Above</t>
        </is>
      </c>
      <c r="K1" s="9" t="inlineStr">
        <is>
          <t>Status Methodology</t>
        </is>
      </c>
      <c r="L1" s="9" t="inlineStr">
        <is>
          <t>Documentation</t>
        </is>
      </c>
    </row>
    <row r="2">
      <c r="A2" s="2" t="inlineStr">
        <is>
          <t>Memory Personalisation</t>
        </is>
      </c>
      <c r="B2" s="2" t="inlineStr">
        <is>
          <t>memory_personalisation</t>
        </is>
      </c>
      <c r="C2" s="11" t="n">
        <v>800</v>
      </c>
      <c r="D2" s="12" t="n">
        <v>1500</v>
      </c>
      <c r="E2" s="13" t="n">
        <v>3000</v>
      </c>
      <c r="F2" s="14" t="n">
        <v>3000</v>
      </c>
      <c r="G2" s="11" t="n">
        <v>400</v>
      </c>
      <c r="H2" s="12" t="n">
        <v>800</v>
      </c>
      <c r="I2" s="13" t="n">
        <v>1500</v>
      </c>
      <c r="J2" s="14" t="n">
        <v>1500</v>
      </c>
      <c r="K2" s="2" t="inlineStr">
        <is>
          <t>Worst of average input-token health and average output-token health</t>
        </is>
      </c>
      <c r="L2" s="2" t="inlineStr">
        <is>
          <t>Bounded learner context; status uses the worst of average input/output token health.</t>
        </is>
      </c>
    </row>
    <row r="3">
      <c r="A3" s="2" t="inlineStr">
        <is>
          <t>Flashcard Generation</t>
        </is>
      </c>
      <c r="B3" s="2" t="inlineStr">
        <is>
          <t>flashcards</t>
        </is>
      </c>
      <c r="C3" s="11" t="n">
        <v>1000</v>
      </c>
      <c r="D3" s="12" t="n">
        <v>2000</v>
      </c>
      <c r="E3" s="13" t="n">
        <v>4000</v>
      </c>
      <c r="F3" s="14" t="n">
        <v>4000</v>
      </c>
      <c r="G3" s="11" t="n">
        <v>500</v>
      </c>
      <c r="H3" s="12" t="n">
        <v>1000</v>
      </c>
      <c r="I3" s="13" t="n">
        <v>2000</v>
      </c>
      <c r="J3" s="14" t="n">
        <v>2000</v>
      </c>
      <c r="K3" s="2" t="inlineStr">
        <is>
          <t>Worst of average input-token health and average output-token health</t>
        </is>
      </c>
      <c r="L3" s="2" t="inlineStr">
        <is>
          <t>Short learning-card generation; status uses the worst of average input/output token health.</t>
        </is>
      </c>
    </row>
    <row r="4">
      <c r="A4" s="2" t="inlineStr">
        <is>
          <t>Podcast Discovery</t>
        </is>
      </c>
      <c r="B4" s="2" t="inlineStr">
        <is>
          <t>podcast_discovery</t>
        </is>
      </c>
      <c r="C4" s="11" t="n">
        <v>1500</v>
      </c>
      <c r="D4" s="12" t="n">
        <v>3000</v>
      </c>
      <c r="E4" s="13" t="n">
        <v>6000</v>
      </c>
      <c r="F4" s="14" t="n">
        <v>6000</v>
      </c>
      <c r="G4" s="11" t="n">
        <v>1000</v>
      </c>
      <c r="H4" s="12" t="n">
        <v>2000</v>
      </c>
      <c r="I4" s="13" t="n">
        <v>4000</v>
      </c>
      <c r="J4" s="14" t="n">
        <v>4000</v>
      </c>
      <c r="K4" s="2" t="inlineStr">
        <is>
          <t>Worst of average input-token health and average output-token health</t>
        </is>
      </c>
      <c r="L4" s="2" t="inlineStr">
        <is>
          <t>Discovery/retrieval workload; status uses the worst of average input/output token health.</t>
        </is>
      </c>
    </row>
    <row r="5">
      <c r="A5" s="2" t="inlineStr">
        <is>
          <t>Podcast Learning Challenge</t>
        </is>
      </c>
      <c r="B5" s="2" t="inlineStr">
        <is>
          <t>podcast_learning</t>
        </is>
      </c>
      <c r="C5" s="11" t="n">
        <v>2000</v>
      </c>
      <c r="D5" s="12" t="n">
        <v>4000</v>
      </c>
      <c r="E5" s="13" t="n">
        <v>8000</v>
      </c>
      <c r="F5" s="14" t="n">
        <v>8000</v>
      </c>
      <c r="G5" s="11" t="n">
        <v>1500</v>
      </c>
      <c r="H5" s="12" t="n">
        <v>3000</v>
      </c>
      <c r="I5" s="13" t="n">
        <v>5000</v>
      </c>
      <c r="J5" s="14" t="n">
        <v>5000</v>
      </c>
      <c r="K5" s="2" t="inlineStr">
        <is>
          <t>Worst of average input-token health and average output-token health</t>
        </is>
      </c>
      <c r="L5" s="2" t="inlineStr">
        <is>
          <t>Exercise generation; status uses the worst of average input/output token health.</t>
        </is>
      </c>
    </row>
    <row r="6">
      <c r="A6" s="2" t="inlineStr">
        <is>
          <t>Live Intelligence</t>
        </is>
      </c>
      <c r="B6" s="2" t="inlineStr">
        <is>
          <t>live_intelligence</t>
        </is>
      </c>
      <c r="C6" s="11" t="n">
        <v>3000</v>
      </c>
      <c r="D6" s="12" t="n">
        <v>7000</v>
      </c>
      <c r="E6" s="13" t="n">
        <v>12000</v>
      </c>
      <c r="F6" s="14" t="n">
        <v>12000</v>
      </c>
      <c r="G6" s="11" t="n">
        <v>2000</v>
      </c>
      <c r="H6" s="12" t="n">
        <v>5000</v>
      </c>
      <c r="I6" s="13" t="n">
        <v>8000</v>
      </c>
      <c r="J6" s="14" t="n">
        <v>8000</v>
      </c>
      <c r="K6" s="2" t="inlineStr">
        <is>
          <t>Worst of average input-token health and average output-token health</t>
        </is>
      </c>
      <c r="L6" s="2" t="inlineStr">
        <is>
          <t>External research workload; status uses the worst of average input/output token health.</t>
        </is>
      </c>
    </row>
    <row r="7">
      <c r="A7" s="2" t="inlineStr">
        <is>
          <t>Evaluation</t>
        </is>
      </c>
      <c r="B7" s="2" t="inlineStr">
        <is>
          <t>evaluation</t>
        </is>
      </c>
      <c r="C7" s="11" t="n">
        <v>1000</v>
      </c>
      <c r="D7" s="12" t="n">
        <v>2000</v>
      </c>
      <c r="E7" s="13" t="n">
        <v>4000</v>
      </c>
      <c r="F7" s="14" t="n">
        <v>4000</v>
      </c>
      <c r="G7" s="11" t="n">
        <v>500</v>
      </c>
      <c r="H7" s="12" t="n">
        <v>1000</v>
      </c>
      <c r="I7" s="13" t="n">
        <v>2000</v>
      </c>
      <c r="J7" s="14" t="n">
        <v>2000</v>
      </c>
      <c r="K7" s="2" t="inlineStr">
        <is>
          <t>Worst of average input-token health and average output-token health</t>
        </is>
      </c>
      <c r="L7" s="2" t="inlineStr">
        <is>
          <t>Quality-control workload; status uses the worst of average input/output token health.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3" t="inlineStr">
        <is>
          <t>PER-FUNCTIONALITY TOKEN HEALTH LEGEND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9" t="inlineStr">
        <is>
          <t>Capability</t>
        </is>
      </c>
      <c r="B11" s="9" t="inlineStr">
        <is>
          <t>GREEN</t>
        </is>
      </c>
      <c r="C11" s="9" t="inlineStr">
        <is>
          <t>YELLOW</t>
        </is>
      </c>
      <c r="D11" s="9" t="inlineStr">
        <is>
          <t>ORANGE</t>
        </is>
      </c>
      <c r="E11" s="9" t="inlineStr">
        <is>
          <t>RED</t>
        </is>
      </c>
      <c r="F11" s="9" t="inlineStr">
        <is>
          <t>Rule</t>
        </is>
      </c>
      <c r="G11" s="9" t="n"/>
      <c r="H11" s="9" t="n"/>
      <c r="I11" s="9" t="n"/>
      <c r="J11" s="9" t="n"/>
      <c r="K11" s="9" t="n"/>
      <c r="L11" s="9" t="n"/>
    </row>
    <row r="12">
      <c r="A12" s="2" t="inlineStr">
        <is>
          <t>Memory Personalisation</t>
        </is>
      </c>
      <c r="B12" s="2" t="inlineStr">
        <is>
          <t>Input ≤ 800; Output ≤ 400</t>
        </is>
      </c>
      <c r="C12" s="2" t="inlineStr">
        <is>
          <t>Input &gt; 800–1500 OR Output &gt; 400–800</t>
        </is>
      </c>
      <c r="D12" s="2" t="inlineStr">
        <is>
          <t>Input &gt; 1500–3000 OR Output &gt; 800–1500</t>
        </is>
      </c>
      <c r="E12" s="2" t="inlineStr">
        <is>
          <t>Input &gt; 3000 OR Output &gt; 1500</t>
        </is>
      </c>
      <c r="F12" s="2" t="inlineStr">
        <is>
          <t>Worst metric wins</t>
        </is>
      </c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Flashcard Generation</t>
        </is>
      </c>
      <c r="B13" s="2" t="inlineStr">
        <is>
          <t>Input ≤ 1000; Output ≤ 500</t>
        </is>
      </c>
      <c r="C13" s="2" t="inlineStr">
        <is>
          <t>Input &gt; 1000–2000 OR Output &gt; 500–1000</t>
        </is>
      </c>
      <c r="D13" s="2" t="inlineStr">
        <is>
          <t>Input &gt; 2000–4000 OR Output &gt; 1000–2000</t>
        </is>
      </c>
      <c r="E13" s="2" t="inlineStr">
        <is>
          <t>Input &gt; 4000 OR Output &gt; 2000</t>
        </is>
      </c>
      <c r="F13" s="2" t="inlineStr">
        <is>
          <t>Worst metric wins</t>
        </is>
      </c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Podcast Discovery</t>
        </is>
      </c>
      <c r="B14" s="2" t="inlineStr">
        <is>
          <t>Input ≤ 1500; Output ≤ 1000</t>
        </is>
      </c>
      <c r="C14" s="2" t="inlineStr">
        <is>
          <t>Input &gt; 1500–3000 OR Output &gt; 1000–2000</t>
        </is>
      </c>
      <c r="D14" s="2" t="inlineStr">
        <is>
          <t>Input &gt; 3000–6000 OR Output &gt; 2000–4000</t>
        </is>
      </c>
      <c r="E14" s="2" t="inlineStr">
        <is>
          <t>Input &gt; 6000 OR Output &gt; 4000</t>
        </is>
      </c>
      <c r="F14" s="2" t="inlineStr">
        <is>
          <t>Worst metric wins</t>
        </is>
      </c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Podcast Learning Challenge</t>
        </is>
      </c>
      <c r="B15" s="2" t="inlineStr">
        <is>
          <t>Input ≤ 2000; Output ≤ 1500</t>
        </is>
      </c>
      <c r="C15" s="2" t="inlineStr">
        <is>
          <t>Input &gt; 2000–4000 OR Output &gt; 1500–3000</t>
        </is>
      </c>
      <c r="D15" s="2" t="inlineStr">
        <is>
          <t>Input &gt; 4000–8000 OR Output &gt; 3000–5000</t>
        </is>
      </c>
      <c r="E15" s="2" t="inlineStr">
        <is>
          <t>Input &gt; 8000 OR Output &gt; 5000</t>
        </is>
      </c>
      <c r="F15" s="2" t="inlineStr">
        <is>
          <t>Worst metric wins</t>
        </is>
      </c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Live Intelligence</t>
        </is>
      </c>
      <c r="B16" s="2" t="inlineStr">
        <is>
          <t>Input ≤ 3000; Output ≤ 2000</t>
        </is>
      </c>
      <c r="C16" s="2" t="inlineStr">
        <is>
          <t>Input &gt; 3000–7000 OR Output &gt; 2000–5000</t>
        </is>
      </c>
      <c r="D16" s="2" t="inlineStr">
        <is>
          <t>Input &gt; 7000–12000 OR Output &gt; 5000–8000</t>
        </is>
      </c>
      <c r="E16" s="2" t="inlineStr">
        <is>
          <t>Input &gt; 12000 OR Output &gt; 8000</t>
        </is>
      </c>
      <c r="F16" s="2" t="inlineStr">
        <is>
          <t>Worst metric wins</t>
        </is>
      </c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Evaluation</t>
        </is>
      </c>
      <c r="B17" s="2" t="inlineStr">
        <is>
          <t>Input ≤ 1000; Output ≤ 500</t>
        </is>
      </c>
      <c r="C17" s="2" t="inlineStr">
        <is>
          <t>Input &gt; 1000–2000 OR Output &gt; 500–1000</t>
        </is>
      </c>
      <c r="D17" s="2" t="inlineStr">
        <is>
          <t>Input &gt; 2000–4000 OR Output &gt; 1000–2000</t>
        </is>
      </c>
      <c r="E17" s="2" t="inlineStr">
        <is>
          <t>Input &gt; 4000 OR Output &gt; 2000</t>
        </is>
      </c>
      <c r="F17" s="2" t="inlineStr">
        <is>
          <t>Worst metric wins</t>
        </is>
      </c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3" t="inlineStr">
        <is>
          <t>GLOBAL ESCALATION RULE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GREEN</t>
        </is>
      </c>
      <c r="B20" s="2" t="inlineStr">
        <is>
          <t>≤100% of capability-specific green baseline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YELLOW</t>
        </is>
      </c>
      <c r="B21" s="2" t="inlineStr">
        <is>
          <t>&gt;100% to 150%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ORANGE</t>
        </is>
      </c>
      <c r="B22" s="2" t="inlineStr">
        <is>
          <t>&gt;150% to 250%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RED</t>
        </is>
      </c>
      <c r="B23" s="2" t="inlineStr">
        <is>
          <t>&gt;250%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inlineStr">
        <is>
          <t>BETA</t>
        </is>
      </c>
      <c r="B24" s="2" t="inlineStr">
        <is>
          <t>Thresholds are starting baselines and must be recalibrated after real user beta data.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</sheetData>
  <mergeCells count="2">
    <mergeCell ref="A19:L19"/>
    <mergeCell ref="A10:L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30" customWidth="1" min="3" max="3"/>
    <col width="30" customWidth="1" min="4" max="4"/>
  </cols>
  <sheetData>
    <row r="1">
      <c r="A1" s="9" t="inlineStr">
        <is>
          <t>field</t>
        </is>
      </c>
      <c r="B1" s="9" t="inlineStr">
        <is>
          <t>meaning</t>
        </is>
      </c>
      <c r="C1" s="9" t="inlineStr">
        <is>
          <t>source/formula</t>
        </is>
      </c>
      <c r="D1" s="9" t="inlineStr">
        <is>
          <t>future agent action</t>
        </is>
      </c>
    </row>
    <row r="2">
      <c r="A2" s="2" t="inlineStr">
        <is>
          <t>capability</t>
        </is>
      </c>
      <c r="B2" s="2" t="inlineStr">
        <is>
          <t>AI function executed</t>
        </is>
      </c>
      <c r="C2" s="2" t="inlineStr">
        <is>
          <t>Usage Events.capability</t>
        </is>
      </c>
      <c r="D2" s="2" t="inlineStr">
        <is>
          <t>Group and compare</t>
        </is>
      </c>
    </row>
    <row r="3">
      <c r="A3" s="2" t="inlineStr">
        <is>
          <t>input_tokens</t>
        </is>
      </c>
      <c r="B3" s="2" t="inlineStr">
        <is>
          <t>Input consumption per execution</t>
        </is>
      </c>
      <c r="C3" s="2" t="inlineStr">
        <is>
          <t>Usage Events.input_tokens</t>
        </is>
      </c>
      <c r="D3" s="2" t="inlineStr">
        <is>
          <t>Detect context/prompt bloat</t>
        </is>
      </c>
    </row>
    <row r="4">
      <c r="A4" s="2" t="inlineStr">
        <is>
          <t>output_tokens</t>
        </is>
      </c>
      <c r="B4" s="2" t="inlineStr">
        <is>
          <t>Generated consumption per execution</t>
        </is>
      </c>
      <c r="C4" s="2" t="inlineStr">
        <is>
          <t>Usage Events.output_tokens</t>
        </is>
      </c>
      <c r="D4" s="2" t="inlineStr">
        <is>
          <t>Detect excessive generation</t>
        </is>
      </c>
    </row>
    <row r="5">
      <c r="A5" s="2" t="inlineStr">
        <is>
          <t>health_status</t>
        </is>
      </c>
      <c r="B5" s="2" t="inlineStr">
        <is>
          <t>Capability-specific traffic light</t>
        </is>
      </c>
      <c r="C5" s="2" t="inlineStr">
        <is>
          <t>Threshold rules</t>
        </is>
      </c>
      <c r="D5" s="2" t="inlineStr">
        <is>
          <t>Alert and summarise</t>
        </is>
      </c>
    </row>
    <row r="6">
      <c r="A6" s="2" t="inlineStr">
        <is>
          <t>estimated_cost</t>
        </is>
      </c>
      <c r="B6" s="2" t="inlineStr">
        <is>
          <t>Estimated provider cost</t>
        </is>
      </c>
      <c r="C6" s="2" t="inlineStr">
        <is>
          <t>Usage Events.estimated_cost</t>
        </is>
      </c>
      <c r="D6" s="2" t="inlineStr">
        <is>
          <t>Track spend</t>
        </is>
      </c>
    </row>
    <row r="7">
      <c r="A7" s="2" t="inlineStr">
        <is>
          <t>latency_ms</t>
        </is>
      </c>
      <c r="B7" s="2" t="inlineStr">
        <is>
          <t>Runtime latency</t>
        </is>
      </c>
      <c r="C7" s="2" t="inlineStr">
        <is>
          <t>Usage Events.latency_ms</t>
        </is>
      </c>
      <c r="D7" s="2" t="inlineStr">
        <is>
          <t>Find bottlenecks</t>
        </is>
      </c>
    </row>
    <row r="8">
      <c r="A8" s="2" t="inlineStr">
        <is>
          <t>quality_score</t>
        </is>
      </c>
      <c r="B8" s="2" t="inlineStr">
        <is>
          <t>Learning/quality proxy</t>
        </is>
      </c>
      <c r="C8" s="2" t="inlineStr">
        <is>
          <t>Usage Events.quality_score</t>
        </is>
      </c>
      <c r="D8" s="2" t="inlineStr">
        <is>
          <t>Compare efficiency vs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12" customWidth="1" min="3" max="3"/>
    <col width="45" customWidth="1" min="4" max="4"/>
  </cols>
  <sheetData>
    <row r="1">
      <c r="A1" s="9" t="inlineStr">
        <is>
          <t>Reviewer</t>
        </is>
      </c>
      <c r="B1" s="9" t="inlineStr">
        <is>
          <t>Review Area</t>
        </is>
      </c>
      <c r="C1" s="9" t="inlineStr">
        <is>
          <t>Decision</t>
        </is>
      </c>
      <c r="D1" s="9" t="inlineStr">
        <is>
          <t>Finding</t>
        </is>
      </c>
    </row>
    <row r="2">
      <c r="A2" s="2" t="inlineStr">
        <is>
          <t>Head Architect</t>
        </is>
      </c>
      <c r="B2" s="2" t="inlineStr">
        <is>
          <t>Architecture/data boundaries</t>
        </is>
      </c>
      <c r="C2" s="2" t="inlineStr">
        <is>
          <t>APPROVED</t>
        </is>
      </c>
      <c r="D2" s="2" t="inlineStr">
        <is>
          <t>Usage observability remains separate from governance and execution.</t>
        </is>
      </c>
    </row>
    <row r="3">
      <c r="A3" s="2" t="inlineStr">
        <is>
          <t>Head Service Provider Management</t>
        </is>
      </c>
      <c r="B3" s="2" t="inlineStr">
        <is>
          <t>Provider/model attribution</t>
        </is>
      </c>
      <c r="C3" s="2" t="inlineStr">
        <is>
          <t>APPROVED</t>
        </is>
      </c>
      <c r="D3" s="2" t="inlineStr">
        <is>
          <t>Provider and model remain explicit dimensions.</t>
        </is>
      </c>
    </row>
    <row r="4">
      <c r="A4" s="2" t="inlineStr">
        <is>
          <t>Product Management</t>
        </is>
      </c>
      <c r="B4" s="2" t="inlineStr">
        <is>
          <t>Demo usability</t>
        </is>
      </c>
      <c r="C4" s="2" t="inlineStr">
        <is>
          <t>APPROVED</t>
        </is>
      </c>
      <c r="D4" s="2" t="inlineStr">
        <is>
          <t>Dynamic health indicators and visible legends support walkthrough.</t>
        </is>
      </c>
    </row>
    <row r="5">
      <c r="A5" s="2" t="inlineStr">
        <is>
          <t>AI Operations / Agent Design</t>
        </is>
      </c>
      <c r="B5" s="2" t="inlineStr">
        <is>
          <t>Agent readability</t>
        </is>
      </c>
      <c r="C5" s="2" t="inlineStr">
        <is>
          <t>APPROVED</t>
        </is>
      </c>
      <c r="D5" s="2" t="inlineStr">
        <is>
          <t>Structured event and threshold tables are machine-readable.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2026-08-13T10:32:26Z</dcterms:created>
  <dcterms:modified xmlns:dcterms="http://purl.org/dc/terms/" xmlns:xsi="http://www.w3.org/2001/XMLSchema-instance" xsi:type="dcterms:W3CDTF">2026-08-13T10:32:26Z</dcterms:modified>
</cp:coreProperties>
</file>